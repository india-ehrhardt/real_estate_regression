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dialotus/Downloads/hasley cis 3460/regression pt.3 final submission/"/>
    </mc:Choice>
  </mc:AlternateContent>
  <xr:revisionPtr revIDLastSave="0" documentId="13_ncr:1_{49E633C1-C866-C340-8DE4-1148B42FC927}" xr6:coauthVersionLast="47" xr6:coauthVersionMax="47" xr10:uidLastSave="{00000000-0000-0000-0000-000000000000}"/>
  <bookViews>
    <workbookView xWindow="2080" yWindow="1140" windowWidth="25380" windowHeight="16440" activeTab="1" xr2:uid="{1A61B0EC-AB42-2C46-81F7-A5ACB42A5C65}"/>
  </bookViews>
  <sheets>
    <sheet name="zillow_house_1" sheetId="1" r:id="rId1"/>
    <sheet name="zillow_house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G31" i="1"/>
  <c r="E40" i="2"/>
  <c r="L30" i="2"/>
  <c r="E46" i="1"/>
  <c r="E45" i="1"/>
  <c r="E42" i="2"/>
  <c r="E42" i="1"/>
  <c r="E41" i="2"/>
  <c r="E39" i="2"/>
  <c r="L35" i="2"/>
  <c r="J34" i="2"/>
  <c r="J27" i="2"/>
  <c r="J31" i="2"/>
  <c r="B34" i="2"/>
  <c r="F34" i="2"/>
  <c r="F31" i="2"/>
  <c r="F27" i="2"/>
  <c r="L6" i="2"/>
  <c r="L4" i="2"/>
  <c r="B27" i="2"/>
  <c r="B27" i="1" l="1"/>
  <c r="E40" i="1"/>
  <c r="E39" i="1"/>
  <c r="J27" i="1"/>
  <c r="I36" i="1" s="1"/>
  <c r="L4" i="1"/>
  <c r="G27" i="1" s="1"/>
  <c r="B31" i="2"/>
  <c r="E41" i="1" l="1"/>
  <c r="F36" i="1"/>
  <c r="B33" i="1"/>
  <c r="B36" i="1"/>
  <c r="L36" i="1" s="1"/>
</calcChain>
</file>

<file path=xl/sharedStrings.xml><?xml version="1.0" encoding="utf-8"?>
<sst xmlns="http://schemas.openxmlformats.org/spreadsheetml/2006/main" count="147" uniqueCount="77">
  <si>
    <t>Model 5:</t>
  </si>
  <si>
    <t>SUMMARY OUTPUT</t>
  </si>
  <si>
    <t>Basement / Lot Size / Above Ground / Year Built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</si>
  <si>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</si>
  <si>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</si>
  <si>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</si>
  <si>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</si>
  <si>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</si>
  <si>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</si>
  <si>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</si>
  <si>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</si>
  <si>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</si>
  <si>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</si>
  <si>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</si>
  <si>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</si>
  <si>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</si>
  <si>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</si>
  <si>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</si>
  <si>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</si>
  <si>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</si>
  <si>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</si>
  <si>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</si>
  <si>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</si>
  <si>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</si>
  <si>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</si>
  <si>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</si>
  <si>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year built</t>
  </si>
  <si>
    <t>basement</t>
  </si>
  <si>
    <t>above_ground_area</t>
  </si>
  <si>
    <t>lot_size</t>
  </si>
  <si>
    <t>year_built</t>
  </si>
  <si>
    <t>6766 Taft Circle, Arvada, CO 80004</t>
  </si>
  <si>
    <t>Model 5 Pricing for Taft Circle House</t>
  </si>
  <si>
    <t>Price:</t>
  </si>
  <si>
    <t>Listing Price on Zillow:</t>
  </si>
  <si>
    <t>Difference:</t>
  </si>
  <si>
    <t>6050 Marshall Court, Arvada, CO 80003</t>
  </si>
  <si>
    <t>Model 5 Pricing for Marshall Court House</t>
  </si>
  <si>
    <t xml:space="preserve">Price: </t>
  </si>
  <si>
    <t>n house 1</t>
  </si>
  <si>
    <t>total sqft</t>
  </si>
  <si>
    <t>Listing Price:</t>
  </si>
  <si>
    <t xml:space="preserve">Difference: </t>
  </si>
  <si>
    <t>n house 2</t>
  </si>
  <si>
    <t>11378 W 68th Way, Arvada, CO 80004</t>
  </si>
  <si>
    <t>6868 Vivian Street, Arvada, CO 80004</t>
  </si>
  <si>
    <t>price:</t>
  </si>
  <si>
    <t>Listing price:</t>
  </si>
  <si>
    <t>Neighborhood Market Comparisons</t>
  </si>
  <si>
    <t>Selling @ calculated price with 97% selling</t>
  </si>
  <si>
    <t>Suggested Price Analysis</t>
  </si>
  <si>
    <t xml:space="preserve">Max Price to sell </t>
  </si>
  <si>
    <t>Amount Made after Suggested Price Sale</t>
  </si>
  <si>
    <t>Average % difference</t>
  </si>
  <si>
    <t>Calc Price vs. Suggest Price Difference</t>
  </si>
  <si>
    <t>Suggested Offer Price</t>
  </si>
  <si>
    <t>Max Price vs. Suggested Price</t>
  </si>
  <si>
    <t>Results:</t>
  </si>
  <si>
    <t>OVERPRICED</t>
  </si>
  <si>
    <t>Model 5 Pricing for House 1 Comparison</t>
  </si>
  <si>
    <t>Model 5 Pricing for House 2 Comparison</t>
  </si>
  <si>
    <t>UNDERPRICED</t>
  </si>
  <si>
    <t>Percentage Difference</t>
  </si>
  <si>
    <t>Result:</t>
  </si>
  <si>
    <t>7235 W 61st Avenue, Arvada, CO 80003</t>
  </si>
  <si>
    <t>Comparison House #1</t>
  </si>
  <si>
    <t>Comparison House #2</t>
  </si>
  <si>
    <t>6840 W 60th Avenue, Arvada, CO 80003</t>
  </si>
  <si>
    <t>Model 5 Pricing for Comparison House #1</t>
  </si>
  <si>
    <t>Listed Price:</t>
  </si>
  <si>
    <t>Percentage Difference:</t>
  </si>
  <si>
    <t>Model 5 Pricing for Comparison House #2</t>
  </si>
  <si>
    <t>Average Difference</t>
  </si>
  <si>
    <t xml:space="preserve">Suggested Price </t>
  </si>
  <si>
    <t>Amount Made after Suggested Price</t>
  </si>
  <si>
    <t>Max Offer</t>
  </si>
  <si>
    <t>Average Comparison House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</si>
</sst>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rgb="FF2A2A33"/>
      <name val="Tahoma"/>
      <family val="2"/>
    </font>
    <font>
      <b/>
      <sz val="12"/>
      <color theme="1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name val="Aptos Narrow (Body)"/>
    </font>
    <font>
      <b/>
      <sz val="12"/>
      <color rgb="FF2A2A33"/>
      <name val="Aptos Narrow"/>
      <scheme val="minor"/>
    </font>
    <font>
      <b/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Continuous"/>
    </xf>
    <xf numFmtId="0" fontId="0" fillId="0" borderId="2" xfId="0" applyBorder="1"/>
    <xf numFmtId="0" fontId="5" fillId="0" borderId="1" xfId="0" applyFont="1" applyBorder="1" applyAlignment="1">
      <alignment horizontal="center"/>
    </xf>
    <xf numFmtId="44" fontId="0" fillId="0" borderId="0" xfId="0" applyNumberFormat="1"/>
    <xf numFmtId="6" fontId="0" fillId="0" borderId="0" xfId="0" applyNumberFormat="1"/>
    <xf numFmtId="8" fontId="0" fillId="0" borderId="0" xfId="0" applyNumberFormat="1"/>
    <xf numFmtId="0" fontId="6" fillId="0" borderId="0" xfId="0" applyFont="1"/>
    <xf numFmtId="10" fontId="0" fillId="0" borderId="0" xfId="0" applyNumberFormat="1"/>
    <xf numFmtId="0" fontId="7" fillId="0" borderId="0" xfId="0" applyFont="1"/>
    <xf numFmtId="0" fontId="1" fillId="0" borderId="0" xfId="0" applyFont="1"/>
    <xf numFmtId="44" fontId="1" fillId="0" borderId="0" xfId="0" applyNumberFormat="1" applyFont="1"/>
    <xf numFmtId="0" fontId="8" fillId="0" borderId="0" xfId="0" applyFont="1"/>
    <xf numFmtId="44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F815-5E6B-5544-9143-2CB1DA9CEBCF}">
  <dimension ref="A1:O46"/>
  <sheetViews>
    <sheetView topLeftCell="A16" workbookViewId="0">
      <selection activeCell="J32" sqref="J32"/>
    </sheetView>
  </sheetViews>
  <sheetFormatPr baseColWidth="10" defaultRowHeight="16" x14ac:dyDescent="0.2"/>
  <cols>
    <col min="2" max="2" width="12.5" bestFit="1" customWidth="1"/>
    <col min="5" max="5" width="12.5" bestFit="1" customWidth="1"/>
    <col min="7" max="7" width="12.5" bestFit="1" customWidth="1"/>
    <col min="9" max="9" width="14" bestFit="1" customWidth="1"/>
    <col min="10" max="10" width="12.5" bestFit="1" customWidth="1"/>
    <col min="12" max="12" width="17" bestFit="1" customWidth="1"/>
  </cols>
  <sheetData>
    <row r="1" spans="1:15" x14ac:dyDescent="0.2">
      <c r="A1" s="1" t="s">
        <v>0</v>
      </c>
      <c r="G1" t="s">
        <v>31</v>
      </c>
      <c r="K1" t="s">
        <v>30</v>
      </c>
      <c r="L1" t="s">
        <v>28</v>
      </c>
      <c r="M1" t="s">
        <v>27</v>
      </c>
      <c r="N1" t="s">
        <v>29</v>
      </c>
      <c r="O1" t="s">
        <v>40</v>
      </c>
    </row>
    <row r="2" spans="1:15" x14ac:dyDescent="0.2">
      <c r="A2" s="2" t="s">
        <v>1</v>
      </c>
      <c r="B2" s="3"/>
      <c r="C2" s="2" t="s">
        <v>2</v>
      </c>
      <c r="D2" s="3"/>
      <c r="E2" s="3"/>
      <c r="F2" s="3"/>
      <c r="K2">
        <v>1990</v>
      </c>
      <c r="L2">
        <v>1945</v>
      </c>
      <c r="M2">
        <v>627</v>
      </c>
      <c r="N2">
        <v>6055</v>
      </c>
    </row>
    <row r="3" spans="1:15" ht="17" thickBot="1" x14ac:dyDescent="0.25">
      <c r="G3" s="12" t="s">
        <v>48</v>
      </c>
    </row>
    <row r="4" spans="1:15" x14ac:dyDescent="0.2">
      <c r="A4" s="4" t="s">
        <v>3</v>
      </c>
      <c r="B4" s="4"/>
      <c r="G4" t="s">
        <v>44</v>
      </c>
      <c r="J4" t="s">
        <v>39</v>
      </c>
      <c r="K4">
        <v>1971</v>
      </c>
      <c r="L4">
        <f>O4-M4</f>
        <v>1664</v>
      </c>
      <c r="M4">
        <v>912</v>
      </c>
      <c r="N4">
        <v>8015</v>
      </c>
      <c r="O4">
        <v>2576</v>
      </c>
    </row>
    <row r="5" spans="1:15" x14ac:dyDescent="0.2">
      <c r="A5" t="s">
        <v>4</v>
      </c>
      <c r="B5">
        <v>0.69492978329333033</v>
      </c>
    </row>
    <row r="6" spans="1:15" x14ac:dyDescent="0.2">
      <c r="A6" t="s">
        <v>5</v>
      </c>
      <c r="B6">
        <v>0.48292740370811499</v>
      </c>
      <c r="G6" t="s">
        <v>45</v>
      </c>
      <c r="J6" t="s">
        <v>43</v>
      </c>
      <c r="K6">
        <v>1968</v>
      </c>
      <c r="L6">
        <v>1264</v>
      </c>
      <c r="M6">
        <v>748</v>
      </c>
      <c r="N6">
        <v>13068</v>
      </c>
      <c r="O6">
        <v>3119</v>
      </c>
    </row>
    <row r="7" spans="1:15" x14ac:dyDescent="0.2">
      <c r="A7" t="s">
        <v>6</v>
      </c>
      <c r="B7">
        <v>0.45420114835856601</v>
      </c>
    </row>
    <row r="8" spans="1:15" x14ac:dyDescent="0.2">
      <c r="A8" t="s">
        <v>7</v>
      </c>
      <c r="B8">
        <v>75888.754309957672</v>
      </c>
    </row>
    <row r="9" spans="1:15" ht="17" thickBot="1" x14ac:dyDescent="0.25">
      <c r="A9" s="5" t="s">
        <v>8</v>
      </c>
      <c r="B9" s="5">
        <v>77</v>
      </c>
    </row>
    <row r="11" spans="1:15" ht="17" thickBot="1" x14ac:dyDescent="0.25">
      <c r="A11" t="s">
        <v>9</v>
      </c>
    </row>
    <row r="12" spans="1:15" x14ac:dyDescent="0.2">
      <c r="A12" s="6"/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</row>
    <row r="13" spans="1:15" x14ac:dyDescent="0.2">
      <c r="A13" t="s">
        <v>15</v>
      </c>
      <c r="B13">
        <v>4</v>
      </c>
      <c r="C13">
        <v>387273404134.15973</v>
      </c>
      <c r="D13">
        <v>96818351033.539932</v>
      </c>
      <c r="E13">
        <v>16.811359428220577</v>
      </c>
      <c r="F13">
        <v>8.9604030916190761E-10</v>
      </c>
    </row>
    <row r="14" spans="1:15" x14ac:dyDescent="0.2">
      <c r="A14" t="s">
        <v>16</v>
      </c>
      <c r="B14">
        <v>72</v>
      </c>
      <c r="C14">
        <v>414655418211.63251</v>
      </c>
      <c r="D14">
        <v>5759103030.7171183</v>
      </c>
    </row>
    <row r="15" spans="1:15" ht="17" thickBot="1" x14ac:dyDescent="0.25">
      <c r="A15" s="5" t="s">
        <v>17</v>
      </c>
      <c r="B15" s="5">
        <v>76</v>
      </c>
      <c r="C15" s="5">
        <v>801928822345.79224</v>
      </c>
      <c r="D15" s="5"/>
      <c r="E15" s="5"/>
      <c r="F15" s="5"/>
    </row>
    <row r="16" spans="1:15" ht="17" thickBot="1" x14ac:dyDescent="0.25"/>
    <row r="17" spans="1:10" x14ac:dyDescent="0.2">
      <c r="A17" s="6"/>
      <c r="B17" s="6" t="s">
        <v>18</v>
      </c>
      <c r="C17" s="6" t="s">
        <v>7</v>
      </c>
      <c r="D17" s="6" t="s">
        <v>19</v>
      </c>
      <c r="E17" s="6" t="s">
        <v>20</v>
      </c>
      <c r="F17" s="6" t="s">
        <v>21</v>
      </c>
      <c r="G17" s="6" t="s">
        <v>22</v>
      </c>
      <c r="H17" s="6" t="s">
        <v>23</v>
      </c>
      <c r="I17" s="6" t="s">
        <v>24</v>
      </c>
    </row>
    <row r="18" spans="1:10" x14ac:dyDescent="0.2">
      <c r="A18" t="s">
        <v>25</v>
      </c>
      <c r="B18">
        <v>-2835143.9588250951</v>
      </c>
      <c r="C18">
        <v>1267112.1925557705</v>
      </c>
      <c r="D18">
        <v>-2.2374845538393866</v>
      </c>
      <c r="E18">
        <v>2.8350103857560795E-2</v>
      </c>
      <c r="F18">
        <v>-5361085.9495580662</v>
      </c>
      <c r="G18">
        <v>-309201.96809212427</v>
      </c>
      <c r="H18">
        <v>-5361085.9495580662</v>
      </c>
      <c r="I18">
        <v>-309201.96809212427</v>
      </c>
    </row>
    <row r="19" spans="1:10" x14ac:dyDescent="0.2">
      <c r="A19" t="s">
        <v>26</v>
      </c>
      <c r="B19">
        <v>1666.6389368654402</v>
      </c>
      <c r="C19">
        <v>659.00450867447853</v>
      </c>
      <c r="D19">
        <v>2.5290250900069218</v>
      </c>
      <c r="E19">
        <v>1.36291431958676E-2</v>
      </c>
      <c r="F19">
        <v>352.93745855695977</v>
      </c>
      <c r="G19">
        <v>2980.3404151739205</v>
      </c>
      <c r="H19">
        <v>352.93745855695977</v>
      </c>
      <c r="I19">
        <v>2980.3404151739205</v>
      </c>
    </row>
    <row r="20" spans="1:10" x14ac:dyDescent="0.2">
      <c r="A20" t="s">
        <v>27</v>
      </c>
      <c r="B20">
        <v>39.99467873359103</v>
      </c>
      <c r="C20">
        <v>26.126658710162371</v>
      </c>
      <c r="D20">
        <v>1.5307996011764979</v>
      </c>
      <c r="E20">
        <v>0.130201033478824</v>
      </c>
      <c r="F20">
        <v>-12.08786352372671</v>
      </c>
      <c r="G20">
        <v>92.077220990908771</v>
      </c>
      <c r="H20">
        <v>-12.08786352372671</v>
      </c>
      <c r="I20">
        <v>92.077220990908771</v>
      </c>
    </row>
    <row r="21" spans="1:10" x14ac:dyDescent="0.2">
      <c r="A21" t="s">
        <v>28</v>
      </c>
      <c r="B21">
        <v>103.10207799977745</v>
      </c>
      <c r="C21">
        <v>31.973154170615008</v>
      </c>
      <c r="D21">
        <v>3.224645196079329</v>
      </c>
      <c r="E21">
        <v>1.8973526366988899E-3</v>
      </c>
      <c r="F21">
        <v>39.364760049393354</v>
      </c>
      <c r="G21">
        <v>166.83939595016156</v>
      </c>
      <c r="H21">
        <v>39.364760049393354</v>
      </c>
      <c r="I21">
        <v>166.83939595016156</v>
      </c>
    </row>
    <row r="22" spans="1:10" ht="17" thickBot="1" x14ac:dyDescent="0.25">
      <c r="A22" s="5" t="s">
        <v>29</v>
      </c>
      <c r="B22" s="5">
        <v>3.7799031929985145</v>
      </c>
      <c r="C22" s="5">
        <v>3.0075654425209897</v>
      </c>
      <c r="D22" s="5">
        <v>1.2567983191847487</v>
      </c>
      <c r="E22" s="5">
        <v>0.21288872543343701</v>
      </c>
      <c r="F22" s="5">
        <v>-2.2155689410183683</v>
      </c>
      <c r="G22" s="5">
        <v>9.7753753270153982</v>
      </c>
      <c r="H22" s="5">
        <v>-2.2155689410183683</v>
      </c>
      <c r="I22" s="5">
        <v>9.7753753270153982</v>
      </c>
    </row>
    <row r="24" spans="1:10" x14ac:dyDescent="0.2">
      <c r="A24" s="12" t="s">
        <v>32</v>
      </c>
      <c r="E24" s="12" t="s">
        <v>59</v>
      </c>
      <c r="I24" s="12" t="s">
        <v>60</v>
      </c>
    </row>
    <row r="25" spans="1:10" x14ac:dyDescent="0.2">
      <c r="A25" t="s">
        <v>31</v>
      </c>
      <c r="E25" s="10" t="s">
        <v>44</v>
      </c>
      <c r="I25" s="10" t="s">
        <v>45</v>
      </c>
    </row>
    <row r="27" spans="1:10" x14ac:dyDescent="0.2">
      <c r="A27" t="s">
        <v>33</v>
      </c>
      <c r="B27" s="7">
        <f>B18+(B19*K2)+(B20*M2)+(B21*L2)+(B22*N2)</f>
        <v>729965.04464626557</v>
      </c>
      <c r="F27" t="s">
        <v>38</v>
      </c>
      <c r="G27" s="7">
        <f>B18+(B19*K4)+(B20*M4)+(B21*L4)+(B22*N4)</f>
        <v>688134.31462523539</v>
      </c>
      <c r="I27" t="s">
        <v>46</v>
      </c>
      <c r="J27" s="7">
        <f>B18+(B19*K6)+(B20*M6)+(B21*L6)+(B22*N6)</f>
        <v>654434.29013664054</v>
      </c>
    </row>
    <row r="29" spans="1:10" x14ac:dyDescent="0.2">
      <c r="B29" t="s">
        <v>34</v>
      </c>
      <c r="F29" t="s">
        <v>41</v>
      </c>
      <c r="G29" s="8">
        <v>649500</v>
      </c>
      <c r="I29" t="s">
        <v>47</v>
      </c>
      <c r="J29" s="8">
        <v>719000</v>
      </c>
    </row>
    <row r="31" spans="1:10" x14ac:dyDescent="0.2">
      <c r="A31" t="s">
        <v>41</v>
      </c>
      <c r="B31" s="8">
        <v>785000</v>
      </c>
      <c r="F31" t="s">
        <v>42</v>
      </c>
      <c r="G31" s="9">
        <f>G29-G27</f>
        <v>-38634.314625235391</v>
      </c>
      <c r="I31" t="s">
        <v>35</v>
      </c>
      <c r="J31" s="9">
        <f>J29-J27</f>
        <v>64565.709863359458</v>
      </c>
    </row>
    <row r="33" spans="1:12" x14ac:dyDescent="0.2">
      <c r="A33" t="s">
        <v>35</v>
      </c>
      <c r="B33" s="9">
        <f>B31-B27</f>
        <v>55034.955353734433</v>
      </c>
      <c r="F33" s="10"/>
      <c r="K33" s="10"/>
    </row>
    <row r="35" spans="1:12" x14ac:dyDescent="0.2">
      <c r="A35" t="s">
        <v>62</v>
      </c>
      <c r="E35" t="s">
        <v>62</v>
      </c>
      <c r="I35" t="s">
        <v>62</v>
      </c>
      <c r="L35" t="s">
        <v>53</v>
      </c>
    </row>
    <row r="36" spans="1:12" x14ac:dyDescent="0.2">
      <c r="B36" s="11">
        <f>(B31-B27)/B27</f>
        <v>7.5393959967499369E-2</v>
      </c>
      <c r="F36" s="11">
        <f>(G29-G27)/G27</f>
        <v>-5.6143566458062788E-2</v>
      </c>
      <c r="I36" s="11">
        <f>(J29-J27)/J27</f>
        <v>9.8658812407092331E-2</v>
      </c>
      <c r="L36" s="11">
        <f>AVERAGE(B36,F36,I36)</f>
        <v>3.9303068638842968E-2</v>
      </c>
    </row>
    <row r="37" spans="1:12" x14ac:dyDescent="0.2">
      <c r="A37" t="s">
        <v>57</v>
      </c>
      <c r="B37" t="s">
        <v>58</v>
      </c>
      <c r="E37" t="s">
        <v>57</v>
      </c>
      <c r="F37" t="s">
        <v>61</v>
      </c>
      <c r="I37" t="s">
        <v>57</v>
      </c>
      <c r="J37" t="s">
        <v>58</v>
      </c>
    </row>
    <row r="38" spans="1:12" x14ac:dyDescent="0.2">
      <c r="A38" s="12" t="s">
        <v>50</v>
      </c>
    </row>
    <row r="39" spans="1:12" x14ac:dyDescent="0.2">
      <c r="A39" t="s">
        <v>49</v>
      </c>
      <c r="B39" s="7"/>
      <c r="E39" s="7">
        <f>B27*0.97</f>
        <v>708066.09330687753</v>
      </c>
      <c r="I39" s="8"/>
    </row>
    <row r="40" spans="1:12" x14ac:dyDescent="0.2">
      <c r="A40" s="13" t="s">
        <v>55</v>
      </c>
      <c r="B40" s="13"/>
      <c r="C40" s="13"/>
      <c r="D40" s="13"/>
      <c r="E40" s="14">
        <f>B27/0.97</f>
        <v>752541.28314047994</v>
      </c>
      <c r="I40" s="7"/>
    </row>
    <row r="41" spans="1:12" x14ac:dyDescent="0.2">
      <c r="A41" s="15" t="s">
        <v>52</v>
      </c>
      <c r="B41" s="15"/>
      <c r="C41" s="15"/>
      <c r="D41" s="15"/>
      <c r="E41" s="16">
        <f>E40*0.97</f>
        <v>729965.04464626557</v>
      </c>
      <c r="I41" s="7"/>
    </row>
    <row r="42" spans="1:12" x14ac:dyDescent="0.2">
      <c r="A42" t="s">
        <v>51</v>
      </c>
      <c r="E42" s="7">
        <f>E40/0.97</f>
        <v>775815.75581492775</v>
      </c>
      <c r="I42" s="7"/>
    </row>
    <row r="43" spans="1:12" x14ac:dyDescent="0.2">
      <c r="E43" s="7"/>
    </row>
    <row r="45" spans="1:12" x14ac:dyDescent="0.2">
      <c r="C45" t="s">
        <v>54</v>
      </c>
      <c r="E45" s="11">
        <f>(E40-B27)/B27</f>
        <v>3.0927835051546351E-2</v>
      </c>
    </row>
    <row r="46" spans="1:12" x14ac:dyDescent="0.2">
      <c r="C46" t="s">
        <v>56</v>
      </c>
      <c r="E46" s="11">
        <f>(E42-E40)/E40</f>
        <v>3.0927835051546362E-2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981B-9034-7B4E-997F-48B59C0324E4}">
  <dimension ref="A1:O46"/>
  <sheetViews>
    <sheetView tabSelected="1" zoomScale="110" zoomScaleNormal="110" workbookViewId="0">
      <selection activeCell="G45" sqref="G45"/>
    </sheetView>
  </sheetViews>
  <sheetFormatPr baseColWidth="10" defaultRowHeight="16" x14ac:dyDescent="0.2"/>
  <cols>
    <col min="2" max="2" width="12.5" bestFit="1" customWidth="1"/>
    <col min="5" max="6" width="12.5" bestFit="1" customWidth="1"/>
    <col min="10" max="10" width="12.5" bestFit="1" customWidth="1"/>
    <col min="12" max="12" width="17" bestFit="1" customWidth="1"/>
  </cols>
  <sheetData>
    <row r="1" spans="1:15" x14ac:dyDescent="0.2">
      <c r="A1" s="1" t="s">
        <v>0</v>
      </c>
      <c r="G1" s="12" t="s">
        <v>36</v>
      </c>
      <c r="K1" t="s">
        <v>30</v>
      </c>
      <c r="L1" t="s">
        <v>28</v>
      </c>
      <c r="M1" t="s">
        <v>27</v>
      </c>
      <c r="N1" t="s">
        <v>29</v>
      </c>
      <c r="O1" t="s">
        <v>40</v>
      </c>
    </row>
    <row r="2" spans="1:15" x14ac:dyDescent="0.2">
      <c r="A2" s="2" t="s">
        <v>1</v>
      </c>
      <c r="B2" s="3"/>
      <c r="C2" s="2" t="s">
        <v>2</v>
      </c>
      <c r="D2" s="3"/>
      <c r="E2" s="3"/>
      <c r="F2" s="3"/>
      <c r="K2">
        <v>1954</v>
      </c>
      <c r="L2">
        <v>963</v>
      </c>
      <c r="M2">
        <v>963</v>
      </c>
      <c r="N2">
        <v>9496</v>
      </c>
    </row>
    <row r="3" spans="1:15" ht="17" thickBot="1" x14ac:dyDescent="0.25">
      <c r="G3" t="s">
        <v>65</v>
      </c>
    </row>
    <row r="4" spans="1:15" x14ac:dyDescent="0.2">
      <c r="A4" s="4" t="s">
        <v>3</v>
      </c>
      <c r="B4" s="4"/>
      <c r="G4" s="17" t="s">
        <v>64</v>
      </c>
      <c r="K4">
        <v>1951</v>
      </c>
      <c r="L4">
        <f>O4-M4</f>
        <v>2828</v>
      </c>
      <c r="M4">
        <v>712</v>
      </c>
      <c r="N4">
        <v>15681.6</v>
      </c>
      <c r="O4">
        <v>3540</v>
      </c>
    </row>
    <row r="5" spans="1:15" x14ac:dyDescent="0.2">
      <c r="A5" t="s">
        <v>4</v>
      </c>
      <c r="B5">
        <v>0.69492978329333033</v>
      </c>
      <c r="G5" t="s">
        <v>66</v>
      </c>
    </row>
    <row r="6" spans="1:15" x14ac:dyDescent="0.2">
      <c r="A6" t="s">
        <v>5</v>
      </c>
      <c r="B6">
        <v>0.48292740370811499</v>
      </c>
      <c r="G6" s="18" t="s">
        <v>67</v>
      </c>
      <c r="K6">
        <v>2013</v>
      </c>
      <c r="L6">
        <f>O6-M6</f>
        <v>2459</v>
      </c>
      <c r="M6">
        <v>805</v>
      </c>
      <c r="N6">
        <v>5750</v>
      </c>
      <c r="O6">
        <v>3264</v>
      </c>
    </row>
    <row r="7" spans="1:15" x14ac:dyDescent="0.2">
      <c r="A7" t="s">
        <v>6</v>
      </c>
      <c r="B7">
        <v>0.45420114835856601</v>
      </c>
    </row>
    <row r="8" spans="1:15" x14ac:dyDescent="0.2">
      <c r="A8" t="s">
        <v>7</v>
      </c>
      <c r="B8">
        <v>75888.754309957672</v>
      </c>
    </row>
    <row r="9" spans="1:15" ht="17" thickBot="1" x14ac:dyDescent="0.25">
      <c r="A9" s="5" t="s">
        <v>8</v>
      </c>
      <c r="B9" s="5">
        <v>77</v>
      </c>
    </row>
    <row r="11" spans="1:15" ht="17" thickBot="1" x14ac:dyDescent="0.25">
      <c r="A11" t="s">
        <v>9</v>
      </c>
    </row>
    <row r="12" spans="1:15" x14ac:dyDescent="0.2">
      <c r="A12" s="6"/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</row>
    <row r="13" spans="1:15" x14ac:dyDescent="0.2">
      <c r="A13" t="s">
        <v>15</v>
      </c>
      <c r="B13">
        <v>4</v>
      </c>
      <c r="C13">
        <v>387273404134.15973</v>
      </c>
      <c r="D13">
        <v>96818351033.539932</v>
      </c>
      <c r="E13">
        <v>16.811359428220577</v>
      </c>
      <c r="F13">
        <v>8.9604030916190761E-10</v>
      </c>
    </row>
    <row r="14" spans="1:15" x14ac:dyDescent="0.2">
      <c r="A14" t="s">
        <v>16</v>
      </c>
      <c r="B14">
        <v>72</v>
      </c>
      <c r="C14">
        <v>414655418211.63251</v>
      </c>
      <c r="D14">
        <v>5759103030.7171183</v>
      </c>
    </row>
    <row r="15" spans="1:15" ht="17" thickBot="1" x14ac:dyDescent="0.25">
      <c r="A15" s="5" t="s">
        <v>17</v>
      </c>
      <c r="B15" s="5">
        <v>76</v>
      </c>
      <c r="C15" s="5">
        <v>801928822345.79224</v>
      </c>
      <c r="D15" s="5"/>
      <c r="E15" s="5"/>
      <c r="F15" s="5"/>
    </row>
    <row r="16" spans="1:15" ht="17" thickBot="1" x14ac:dyDescent="0.25"/>
    <row r="17" spans="1:12" x14ac:dyDescent="0.2">
      <c r="A17" s="6"/>
      <c r="B17" s="6" t="s">
        <v>18</v>
      </c>
      <c r="C17" s="6" t="s">
        <v>7</v>
      </c>
      <c r="D17" s="6" t="s">
        <v>19</v>
      </c>
      <c r="E17" s="6" t="s">
        <v>20</v>
      </c>
      <c r="F17" s="6" t="s">
        <v>21</v>
      </c>
      <c r="G17" s="6" t="s">
        <v>22</v>
      </c>
      <c r="H17" s="6" t="s">
        <v>23</v>
      </c>
      <c r="I17" s="6" t="s">
        <v>24</v>
      </c>
    </row>
    <row r="18" spans="1:12" x14ac:dyDescent="0.2">
      <c r="A18" t="s">
        <v>25</v>
      </c>
      <c r="B18">
        <v>-2835143.9588250951</v>
      </c>
      <c r="C18">
        <v>1267112.1925557705</v>
      </c>
      <c r="D18">
        <v>-2.2374845538393866</v>
      </c>
      <c r="E18">
        <v>2.8350103857560795E-2</v>
      </c>
      <c r="F18">
        <v>-5361085.9495580662</v>
      </c>
      <c r="G18">
        <v>-309201.96809212427</v>
      </c>
      <c r="H18">
        <v>-5361085.9495580662</v>
      </c>
      <c r="I18">
        <v>-309201.96809212427</v>
      </c>
    </row>
    <row r="19" spans="1:12" x14ac:dyDescent="0.2">
      <c r="A19" t="s">
        <v>26</v>
      </c>
      <c r="B19">
        <v>1666.6389368654402</v>
      </c>
      <c r="C19">
        <v>659.00450867447853</v>
      </c>
      <c r="D19">
        <v>2.5290250900069218</v>
      </c>
      <c r="E19">
        <v>1.36291431958676E-2</v>
      </c>
      <c r="F19">
        <v>352.93745855695977</v>
      </c>
      <c r="G19">
        <v>2980.3404151739205</v>
      </c>
      <c r="H19">
        <v>352.93745855695977</v>
      </c>
      <c r="I19">
        <v>2980.3404151739205</v>
      </c>
    </row>
    <row r="20" spans="1:12" x14ac:dyDescent="0.2">
      <c r="A20" t="s">
        <v>27</v>
      </c>
      <c r="B20">
        <v>39.99467873359103</v>
      </c>
      <c r="C20">
        <v>26.126658710162371</v>
      </c>
      <c r="D20">
        <v>1.5307996011764979</v>
      </c>
      <c r="E20">
        <v>0.130201033478824</v>
      </c>
      <c r="F20">
        <v>-12.08786352372671</v>
      </c>
      <c r="G20">
        <v>92.077220990908771</v>
      </c>
      <c r="H20">
        <v>-12.08786352372671</v>
      </c>
      <c r="I20">
        <v>92.077220990908771</v>
      </c>
    </row>
    <row r="21" spans="1:12" x14ac:dyDescent="0.2">
      <c r="A21" t="s">
        <v>28</v>
      </c>
      <c r="B21">
        <v>103.10207799977745</v>
      </c>
      <c r="C21">
        <v>31.973154170615008</v>
      </c>
      <c r="D21">
        <v>3.224645196079329</v>
      </c>
      <c r="E21">
        <v>1.8973526366988899E-3</v>
      </c>
      <c r="F21">
        <v>39.364760049393354</v>
      </c>
      <c r="G21">
        <v>166.83939595016156</v>
      </c>
      <c r="H21">
        <v>39.364760049393354</v>
      </c>
      <c r="I21">
        <v>166.83939595016156</v>
      </c>
    </row>
    <row r="22" spans="1:12" ht="17" thickBot="1" x14ac:dyDescent="0.25">
      <c r="A22" s="5" t="s">
        <v>29</v>
      </c>
      <c r="B22" s="5">
        <v>3.7799031929985145</v>
      </c>
      <c r="C22" s="5">
        <v>3.0075654425209897</v>
      </c>
      <c r="D22" s="5">
        <v>1.2567983191847487</v>
      </c>
      <c r="E22" s="5">
        <v>0.21288872543343701</v>
      </c>
      <c r="F22" s="5">
        <v>-2.2155689410183683</v>
      </c>
      <c r="G22" s="5">
        <v>9.7753753270153982</v>
      </c>
      <c r="H22" s="5">
        <v>-2.2155689410183683</v>
      </c>
      <c r="I22" s="5">
        <v>9.7753753270153982</v>
      </c>
    </row>
    <row r="25" spans="1:12" x14ac:dyDescent="0.2">
      <c r="A25" s="12" t="s">
        <v>37</v>
      </c>
      <c r="E25" s="12" t="s">
        <v>68</v>
      </c>
      <c r="I25" s="12" t="s">
        <v>71</v>
      </c>
    </row>
    <row r="26" spans="1:12" x14ac:dyDescent="0.2">
      <c r="A26" t="s">
        <v>36</v>
      </c>
      <c r="E26" t="s">
        <v>64</v>
      </c>
      <c r="I26" t="s">
        <v>67</v>
      </c>
    </row>
    <row r="27" spans="1:12" x14ac:dyDescent="0.2">
      <c r="A27" t="s">
        <v>38</v>
      </c>
      <c r="B27" s="7">
        <f>B18+(B19*K2)+(B20*M2)+(B21*L2)+(B22*N2)</f>
        <v>595164.6612649227</v>
      </c>
      <c r="E27" t="s">
        <v>33</v>
      </c>
      <c r="F27" s="7">
        <f>B18+(B19*K4)+(B20*M4)+(B21*L4)+(B22*N4)</f>
        <v>795792.42475239153</v>
      </c>
      <c r="I27" t="s">
        <v>33</v>
      </c>
      <c r="J27" s="7">
        <f>B18+(B19*K6)+(B20*M6)+(B21*L6)+(B22*N6)</f>
        <v>827258.39062677114</v>
      </c>
    </row>
    <row r="29" spans="1:12" x14ac:dyDescent="0.2">
      <c r="A29" t="s">
        <v>41</v>
      </c>
      <c r="B29" s="8">
        <v>679900</v>
      </c>
      <c r="E29" t="s">
        <v>69</v>
      </c>
      <c r="F29" s="8">
        <v>700000</v>
      </c>
      <c r="I29" t="s">
        <v>69</v>
      </c>
      <c r="J29" s="8">
        <v>750000</v>
      </c>
      <c r="L29" t="s">
        <v>76</v>
      </c>
    </row>
    <row r="30" spans="1:12" x14ac:dyDescent="0.2">
      <c r="L30" s="11">
        <f>AVERAGE(F34,J34)</f>
        <v>-0.10688225709770081</v>
      </c>
    </row>
    <row r="31" spans="1:12" x14ac:dyDescent="0.2">
      <c r="A31" t="s">
        <v>35</v>
      </c>
      <c r="B31" s="9">
        <f>B29-B27</f>
        <v>84735.338735077297</v>
      </c>
      <c r="E31" t="s">
        <v>35</v>
      </c>
      <c r="F31" s="9">
        <f>F29-F27</f>
        <v>-95792.424752391526</v>
      </c>
      <c r="I31" t="s">
        <v>35</v>
      </c>
      <c r="J31" s="9">
        <f>J29-J27</f>
        <v>-77258.390626771143</v>
      </c>
    </row>
    <row r="33" spans="1:12" x14ac:dyDescent="0.2">
      <c r="A33" t="s">
        <v>62</v>
      </c>
      <c r="E33" t="s">
        <v>70</v>
      </c>
      <c r="I33" t="s">
        <v>70</v>
      </c>
    </row>
    <row r="34" spans="1:12" x14ac:dyDescent="0.2">
      <c r="B34" s="11">
        <f>(B29-B27)/B27</f>
        <v>0.14237293349202981</v>
      </c>
      <c r="F34" s="11">
        <f>(F29-F27)/F27</f>
        <v>-0.12037363233533802</v>
      </c>
      <c r="J34" s="11">
        <f>(J29-J27)/J27</f>
        <v>-9.3390881860063613E-2</v>
      </c>
      <c r="L34" t="s">
        <v>72</v>
      </c>
    </row>
    <row r="35" spans="1:12" x14ac:dyDescent="0.2">
      <c r="B35" s="11"/>
      <c r="L35" s="11">
        <f>AVERAGE(B34,F34,J34)</f>
        <v>-2.3797193567790604E-2</v>
      </c>
    </row>
    <row r="36" spans="1:12" x14ac:dyDescent="0.2">
      <c r="A36" t="s">
        <v>63</v>
      </c>
      <c r="B36" t="s">
        <v>58</v>
      </c>
      <c r="E36" t="s">
        <v>63</v>
      </c>
      <c r="F36" t="s">
        <v>61</v>
      </c>
      <c r="I36" t="s">
        <v>63</v>
      </c>
      <c r="J36" t="s">
        <v>61</v>
      </c>
    </row>
    <row r="38" spans="1:12" x14ac:dyDescent="0.2">
      <c r="A38" s="19" t="s">
        <v>50</v>
      </c>
    </row>
    <row r="39" spans="1:12" x14ac:dyDescent="0.2">
      <c r="A39" t="s">
        <v>49</v>
      </c>
      <c r="E39" s="7">
        <f>B27*0.97</f>
        <v>577309.72142697498</v>
      </c>
    </row>
    <row r="40" spans="1:12" x14ac:dyDescent="0.2">
      <c r="A40" s="15" t="s">
        <v>73</v>
      </c>
      <c r="B40" s="15"/>
      <c r="C40" s="15"/>
      <c r="D40" s="15"/>
      <c r="E40" s="16">
        <f>B27/0.97</f>
        <v>613571.81573703373</v>
      </c>
    </row>
    <row r="41" spans="1:12" x14ac:dyDescent="0.2">
      <c r="A41" t="s">
        <v>74</v>
      </c>
      <c r="E41" s="7">
        <f>E40*0.97</f>
        <v>595164.6612649227</v>
      </c>
    </row>
    <row r="42" spans="1:12" x14ac:dyDescent="0.2">
      <c r="A42" s="13" t="s">
        <v>75</v>
      </c>
      <c r="B42" s="13"/>
      <c r="C42" s="13"/>
      <c r="D42" s="13"/>
      <c r="E42" s="14">
        <f>E40/0.97</f>
        <v>632548.26364642649</v>
      </c>
    </row>
    <row r="45" spans="1:12" x14ac:dyDescent="0.2">
      <c r="D45" s="11"/>
    </row>
    <row r="46" spans="1:12" x14ac:dyDescent="0.2">
      <c r="D4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zillow_house_1</vt:lpstr>
      <vt:lpstr>zillow_house_2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 Ehrhardt</dc:creator>
  <cp:lastModifiedBy>India Ehrhardt</cp:lastModifiedBy>
  <dcterms:created xsi:type="dcterms:W3CDTF">2026-04-28T17:44:39Z</dcterms:created>
  <dcterms:modified xsi:type="dcterms:W3CDTF">2026-04-29T19:57:18Z</dcterms:modified>
</cp:coreProperties>
</file>